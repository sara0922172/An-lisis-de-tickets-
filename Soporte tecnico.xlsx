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3A72CC58-1F3F-41A2-B836-67262565FBBD}" xr6:coauthVersionLast="47" xr6:coauthVersionMax="47" xr10:uidLastSave="{00000000-0000-0000-0000-000000000000}"/>
  <bookViews>
    <workbookView xWindow="7812" yWindow="0" windowWidth="15324" windowHeight="12336" activeTab="1" xr2:uid="{94D0F4FD-1619-43FF-AFD0-4E64F45358E2}"/>
  </bookViews>
  <sheets>
    <sheet name="Dashboard" sheetId="4" r:id="rId1"/>
    <sheet name="Datos" sheetId="1" r:id="rId2"/>
  </sheets>
  <calcPr calcId="191029"/>
  <pivotCaches>
    <pivotCache cacheId="1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3" i="1"/>
</calcChain>
</file>

<file path=xl/sharedStrings.xml><?xml version="1.0" encoding="utf-8"?>
<sst xmlns="http://schemas.openxmlformats.org/spreadsheetml/2006/main" count="238" uniqueCount="70">
  <si>
    <t>ID</t>
  </si>
  <si>
    <t>Fecha</t>
  </si>
  <si>
    <t>Usuario</t>
  </si>
  <si>
    <t>Tipo_Falla</t>
  </si>
  <si>
    <t>Prioridad</t>
  </si>
  <si>
    <t>Tecnico</t>
  </si>
  <si>
    <t>Estado</t>
  </si>
  <si>
    <t>Tiempo_Horas</t>
  </si>
  <si>
    <t>Ana</t>
  </si>
  <si>
    <t>Software</t>
  </si>
  <si>
    <t>Alta</t>
  </si>
  <si>
    <t>Luis</t>
  </si>
  <si>
    <t>Cerrado</t>
  </si>
  <si>
    <t>Juan</t>
  </si>
  <si>
    <t>Hardware</t>
  </si>
  <si>
    <t>Media</t>
  </si>
  <si>
    <t>Carlos</t>
  </si>
  <si>
    <t>Sara</t>
  </si>
  <si>
    <t>Red</t>
  </si>
  <si>
    <t>Abierto</t>
  </si>
  <si>
    <t>Camilo</t>
  </si>
  <si>
    <t>Acceso</t>
  </si>
  <si>
    <t>Baja</t>
  </si>
  <si>
    <t>Maria</t>
  </si>
  <si>
    <t>Laura</t>
  </si>
  <si>
    <t>Pedro</t>
  </si>
  <si>
    <t>Sistema</t>
  </si>
  <si>
    <t>Andres</t>
  </si>
  <si>
    <t>Valentina</t>
  </si>
  <si>
    <t>Sofia</t>
  </si>
  <si>
    <t>Diego</t>
  </si>
  <si>
    <t>Daniela</t>
  </si>
  <si>
    <t>Jorge</t>
  </si>
  <si>
    <t>Paula</t>
  </si>
  <si>
    <t>Nicolas</t>
  </si>
  <si>
    <t>Julian</t>
  </si>
  <si>
    <t>Carolina</t>
  </si>
  <si>
    <t>Felipe</t>
  </si>
  <si>
    <t>Manuela</t>
  </si>
  <si>
    <t>Kevin</t>
  </si>
  <si>
    <t>Catalina</t>
  </si>
  <si>
    <t>Santiago</t>
  </si>
  <si>
    <t>Lina</t>
  </si>
  <si>
    <t>Esteban</t>
  </si>
  <si>
    <t>Adriana</t>
  </si>
  <si>
    <t>Cesar</t>
  </si>
  <si>
    <t>Diana</t>
  </si>
  <si>
    <t>Oscar</t>
  </si>
  <si>
    <t>Monica</t>
  </si>
  <si>
    <t>Raul</t>
  </si>
  <si>
    <t>Patricia</t>
  </si>
  <si>
    <t>Tatiana</t>
  </si>
  <si>
    <t>Hector</t>
  </si>
  <si>
    <t>Mario</t>
  </si>
  <si>
    <t>Alejandra</t>
  </si>
  <si>
    <t>Brayan</t>
  </si>
  <si>
    <t>Luisa</t>
  </si>
  <si>
    <t>Renata</t>
  </si>
  <si>
    <t>David</t>
  </si>
  <si>
    <t>Angela</t>
  </si>
  <si>
    <t>Victor</t>
  </si>
  <si>
    <t>total de tickets</t>
  </si>
  <si>
    <t xml:space="preserve">promedio de tiempo </t>
  </si>
  <si>
    <t>Etiquetas de fila</t>
  </si>
  <si>
    <t>Total general</t>
  </si>
  <si>
    <t>Suma de ID</t>
  </si>
  <si>
    <t>Cuenta de ID</t>
  </si>
  <si>
    <t xml:space="preserve">Dashboard de soporte tecnico </t>
  </si>
  <si>
    <t>tickets</t>
  </si>
  <si>
    <t>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</si>
</sst>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[Soporte tecnico.xlsx]Datos!TablaDinámica2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</a:t>
            </a:r>
            <a:r>
              <a:rPr lang="en-US" baseline="0"/>
              <a:t> de falla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Datos!$B$44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Datos!$A$45:$A$50</c:f>
              <c:strCache>
                <c:ptCount val="5"/>
                <c:pt idx="0">
                  <c:v>Acceso</c:v>
                </c:pt>
                <c:pt idx="1">
                  <c:v>Hardware</c:v>
                </c:pt>
                <c:pt idx="2">
                  <c:v>Red</c:v>
                </c:pt>
                <c:pt idx="3">
                  <c:v>Sistema</c:v>
                </c:pt>
                <c:pt idx="4">
                  <c:v>Software</c:v>
                </c:pt>
              </c:strCache>
            </c:strRef>
          </c:cat>
          <c:val>
            <c:numRef>
              <c:f>Datos!$B$45:$B$50</c:f>
              <c:numCache>
                <c:formatCode>General</c:formatCode>
                <c:ptCount val="5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C-4137-86F1-BF94027B4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5238863"/>
        <c:axId val="1495239343"/>
      </c:barChart>
      <c:catAx>
        <c:axId val="149523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95239343"/>
        <c:crosses val="autoZero"/>
        <c:auto val="1"/>
        <c:lblAlgn val="ctr"/>
        <c:lblOffset val="100"/>
        <c:noMultiLvlLbl val="0"/>
      </c:catAx>
      <c:valAx>
        <c:axId val="149523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9523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[Soporte tecnico.xlsx]Datos!TablaDinámica4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Prioridad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Datos!$H$44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591-4BF6-A90D-AF98CD0C88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91-4BF6-A90D-AF98CD0C88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591-4BF6-A90D-AF98CD0C8874}"/>
              </c:ext>
            </c:extLst>
          </c:dPt>
          <c:cat>
            <c:strRef>
              <c:f>Datos!$G$45:$G$48</c:f>
              <c:strCache>
                <c:ptCount val="3"/>
                <c:pt idx="0">
                  <c:v>Alta</c:v>
                </c:pt>
                <c:pt idx="1">
                  <c:v>Baja</c:v>
                </c:pt>
                <c:pt idx="2">
                  <c:v>Media</c:v>
                </c:pt>
              </c:strCache>
            </c:strRef>
          </c:cat>
          <c:val>
            <c:numRef>
              <c:f>Datos!$H$45:$H$48</c:f>
              <c:numCache>
                <c:formatCode>General</c:formatCode>
                <c:ptCount val="3"/>
                <c:pt idx="0">
                  <c:v>16</c:v>
                </c:pt>
                <c:pt idx="1">
                  <c:v>8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91-4BF6-A90D-AF98CD0C8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[Soporte tecnico.xlsx]Datos!TablaDinámica3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Tecnico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Datos!$E$44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Datos!$D$45:$D$48</c:f>
              <c:strCache>
                <c:ptCount val="3"/>
                <c:pt idx="0">
                  <c:v>Carlos</c:v>
                </c:pt>
                <c:pt idx="1">
                  <c:v>Luis</c:v>
                </c:pt>
                <c:pt idx="2">
                  <c:v>Maria</c:v>
                </c:pt>
              </c:strCache>
            </c:strRef>
          </c:cat>
          <c:val>
            <c:numRef>
              <c:f>Datos!$E$45:$E$48</c:f>
              <c:numCache>
                <c:formatCode>General</c:formatCode>
                <c:ptCount val="3"/>
                <c:pt idx="0">
                  <c:v>13</c:v>
                </c:pt>
                <c:pt idx="1">
                  <c:v>14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F-45E8-BE87-40C3F87CD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8624863"/>
        <c:axId val="1738624383"/>
      </c:barChart>
      <c:catAx>
        <c:axId val="173862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38624383"/>
        <c:crosses val="autoZero"/>
        <c:auto val="1"/>
        <c:lblAlgn val="ctr"/>
        <c:lblOffset val="100"/>
        <c:noMultiLvlLbl val="0"/>
      </c:catAx>
      <c:valAx>
        <c:axId val="173862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3862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[Soporte tecnico.xlsx]Datos!TablaDinámica7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Fechas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Datos!$K$44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Datos!$J$45:$J$65</c:f>
              <c:strCache>
                <c:ptCount val="20"/>
                <c:pt idx="0">
                  <c:v>1/02/2025</c:v>
                </c:pt>
                <c:pt idx="1">
                  <c:v>2/02/2025</c:v>
                </c:pt>
                <c:pt idx="2">
                  <c:v>3/02/2025</c:v>
                </c:pt>
                <c:pt idx="3">
                  <c:v>4/02/2025</c:v>
                </c:pt>
                <c:pt idx="4">
                  <c:v>5/02/2025</c:v>
                </c:pt>
                <c:pt idx="5">
                  <c:v>6/02/2025</c:v>
                </c:pt>
                <c:pt idx="6">
                  <c:v>7/02/2025</c:v>
                </c:pt>
                <c:pt idx="7">
                  <c:v>8/02/2025</c:v>
                </c:pt>
                <c:pt idx="8">
                  <c:v>9/02/2025</c:v>
                </c:pt>
                <c:pt idx="9">
                  <c:v>10/02/2025</c:v>
                </c:pt>
                <c:pt idx="10">
                  <c:v>11/02/2025</c:v>
                </c:pt>
                <c:pt idx="11">
                  <c:v>12/02/2025</c:v>
                </c:pt>
                <c:pt idx="12">
                  <c:v>13/02/2025</c:v>
                </c:pt>
                <c:pt idx="13">
                  <c:v>14/02/2025</c:v>
                </c:pt>
                <c:pt idx="14">
                  <c:v>15/02/2025</c:v>
                </c:pt>
                <c:pt idx="15">
                  <c:v>16/02/2025</c:v>
                </c:pt>
                <c:pt idx="16">
                  <c:v>17/02/2025</c:v>
                </c:pt>
                <c:pt idx="17">
                  <c:v>18/02/2025</c:v>
                </c:pt>
                <c:pt idx="18">
                  <c:v>19/02/2025</c:v>
                </c:pt>
                <c:pt idx="19">
                  <c:v>20/02/2025</c:v>
                </c:pt>
              </c:strCache>
            </c:strRef>
          </c:cat>
          <c:val>
            <c:numRef>
              <c:f>Datos!$K$45:$K$65</c:f>
              <c:numCache>
                <c:formatCode>General</c:formatCode>
                <c:ptCount val="20"/>
                <c:pt idx="0">
                  <c:v>3</c:v>
                </c:pt>
                <c:pt idx="1">
                  <c:v>7</c:v>
                </c:pt>
                <c:pt idx="2">
                  <c:v>11</c:v>
                </c:pt>
                <c:pt idx="3">
                  <c:v>15</c:v>
                </c:pt>
                <c:pt idx="4">
                  <c:v>19</c:v>
                </c:pt>
                <c:pt idx="5">
                  <c:v>23</c:v>
                </c:pt>
                <c:pt idx="6">
                  <c:v>27</c:v>
                </c:pt>
                <c:pt idx="7">
                  <c:v>31</c:v>
                </c:pt>
                <c:pt idx="8">
                  <c:v>35</c:v>
                </c:pt>
                <c:pt idx="9">
                  <c:v>39</c:v>
                </c:pt>
                <c:pt idx="10">
                  <c:v>43</c:v>
                </c:pt>
                <c:pt idx="11">
                  <c:v>47</c:v>
                </c:pt>
                <c:pt idx="12">
                  <c:v>51</c:v>
                </c:pt>
                <c:pt idx="13">
                  <c:v>55</c:v>
                </c:pt>
                <c:pt idx="14">
                  <c:v>59</c:v>
                </c:pt>
                <c:pt idx="15">
                  <c:v>63</c:v>
                </c:pt>
                <c:pt idx="16">
                  <c:v>67</c:v>
                </c:pt>
                <c:pt idx="17">
                  <c:v>71</c:v>
                </c:pt>
                <c:pt idx="18">
                  <c:v>75</c:v>
                </c:pt>
                <c:pt idx="19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E0-4773-9C4A-978857A7B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8812335"/>
        <c:axId val="1748814735"/>
      </c:lineChart>
      <c:catAx>
        <c:axId val="174881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8814735"/>
        <c:crosses val="autoZero"/>
        <c:auto val="1"/>
        <c:lblAlgn val="ctr"/>
        <c:lblOffset val="100"/>
        <c:noMultiLvlLbl val="0"/>
      </c:catAx>
      <c:valAx>
        <c:axId val="174881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881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[Soporte tecnico.xlsx]Datos!TablaDinámica2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</a:t>
            </a:r>
            <a:r>
              <a:rPr lang="en-US" baseline="0"/>
              <a:t> de falla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Datos!$B$44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Datos!$A$45:$A$50</c:f>
              <c:strCache>
                <c:ptCount val="5"/>
                <c:pt idx="0">
                  <c:v>Acceso</c:v>
                </c:pt>
                <c:pt idx="1">
                  <c:v>Hardware</c:v>
                </c:pt>
                <c:pt idx="2">
                  <c:v>Red</c:v>
                </c:pt>
                <c:pt idx="3">
                  <c:v>Sistema</c:v>
                </c:pt>
                <c:pt idx="4">
                  <c:v>Software</c:v>
                </c:pt>
              </c:strCache>
            </c:strRef>
          </c:cat>
          <c:val>
            <c:numRef>
              <c:f>Datos!$B$45:$B$50</c:f>
              <c:numCache>
                <c:formatCode>General</c:formatCode>
                <c:ptCount val="5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B-4BDC-AD0A-7160EDCED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5238863"/>
        <c:axId val="1495239343"/>
      </c:barChart>
      <c:catAx>
        <c:axId val="149523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95239343"/>
        <c:crosses val="autoZero"/>
        <c:auto val="1"/>
        <c:lblAlgn val="ctr"/>
        <c:lblOffset val="100"/>
        <c:noMultiLvlLbl val="0"/>
      </c:catAx>
      <c:valAx>
        <c:axId val="149523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9523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[Soporte tecnico.xlsx]Datos!TablaDinámica4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Prioridad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Datos!$H$44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Datos!$G$45:$G$48</c:f>
              <c:strCache>
                <c:ptCount val="3"/>
                <c:pt idx="0">
                  <c:v>Alta</c:v>
                </c:pt>
                <c:pt idx="1">
                  <c:v>Baja</c:v>
                </c:pt>
                <c:pt idx="2">
                  <c:v>Media</c:v>
                </c:pt>
              </c:strCache>
            </c:strRef>
          </c:cat>
          <c:val>
            <c:numRef>
              <c:f>Datos!$H$45:$H$48</c:f>
              <c:numCache>
                <c:formatCode>General</c:formatCode>
                <c:ptCount val="3"/>
                <c:pt idx="0">
                  <c:v>16</c:v>
                </c:pt>
                <c:pt idx="1">
                  <c:v>8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B7-4935-A4C5-EA003FAD2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[Soporte tecnico.xlsx]Datos!TablaDinámica3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Tecnico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Datos!$E$44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Datos!$D$45:$D$48</c:f>
              <c:strCache>
                <c:ptCount val="3"/>
                <c:pt idx="0">
                  <c:v>Carlos</c:v>
                </c:pt>
                <c:pt idx="1">
                  <c:v>Luis</c:v>
                </c:pt>
                <c:pt idx="2">
                  <c:v>Maria</c:v>
                </c:pt>
              </c:strCache>
            </c:strRef>
          </c:cat>
          <c:val>
            <c:numRef>
              <c:f>Datos!$E$45:$E$48</c:f>
              <c:numCache>
                <c:formatCode>General</c:formatCode>
                <c:ptCount val="3"/>
                <c:pt idx="0">
                  <c:v>13</c:v>
                </c:pt>
                <c:pt idx="1">
                  <c:v>14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9-498E-AEEA-7886053D4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8624863"/>
        <c:axId val="1738624383"/>
      </c:barChart>
      <c:catAx>
        <c:axId val="173862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38624383"/>
        <c:crosses val="autoZero"/>
        <c:auto val="1"/>
        <c:lblAlgn val="ctr"/>
        <c:lblOffset val="100"/>
        <c:noMultiLvlLbl val="0"/>
      </c:catAx>
      <c:valAx>
        <c:axId val="173862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3862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[Soporte tecnico.xlsx]Datos!TablaDinámica7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Fechas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Datos!$K$44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Datos!$J$45:$J$65</c:f>
              <c:strCache>
                <c:ptCount val="20"/>
                <c:pt idx="0">
                  <c:v>1/02/2025</c:v>
                </c:pt>
                <c:pt idx="1">
                  <c:v>2/02/2025</c:v>
                </c:pt>
                <c:pt idx="2">
                  <c:v>3/02/2025</c:v>
                </c:pt>
                <c:pt idx="3">
                  <c:v>4/02/2025</c:v>
                </c:pt>
                <c:pt idx="4">
                  <c:v>5/02/2025</c:v>
                </c:pt>
                <c:pt idx="5">
                  <c:v>6/02/2025</c:v>
                </c:pt>
                <c:pt idx="6">
                  <c:v>7/02/2025</c:v>
                </c:pt>
                <c:pt idx="7">
                  <c:v>8/02/2025</c:v>
                </c:pt>
                <c:pt idx="8">
                  <c:v>9/02/2025</c:v>
                </c:pt>
                <c:pt idx="9">
                  <c:v>10/02/2025</c:v>
                </c:pt>
                <c:pt idx="10">
                  <c:v>11/02/2025</c:v>
                </c:pt>
                <c:pt idx="11">
                  <c:v>12/02/2025</c:v>
                </c:pt>
                <c:pt idx="12">
                  <c:v>13/02/2025</c:v>
                </c:pt>
                <c:pt idx="13">
                  <c:v>14/02/2025</c:v>
                </c:pt>
                <c:pt idx="14">
                  <c:v>15/02/2025</c:v>
                </c:pt>
                <c:pt idx="15">
                  <c:v>16/02/2025</c:v>
                </c:pt>
                <c:pt idx="16">
                  <c:v>17/02/2025</c:v>
                </c:pt>
                <c:pt idx="17">
                  <c:v>18/02/2025</c:v>
                </c:pt>
                <c:pt idx="18">
                  <c:v>19/02/2025</c:v>
                </c:pt>
                <c:pt idx="19">
                  <c:v>20/02/2025</c:v>
                </c:pt>
              </c:strCache>
            </c:strRef>
          </c:cat>
          <c:val>
            <c:numRef>
              <c:f>Datos!$K$45:$K$65</c:f>
              <c:numCache>
                <c:formatCode>General</c:formatCode>
                <c:ptCount val="20"/>
                <c:pt idx="0">
                  <c:v>3</c:v>
                </c:pt>
                <c:pt idx="1">
                  <c:v>7</c:v>
                </c:pt>
                <c:pt idx="2">
                  <c:v>11</c:v>
                </c:pt>
                <c:pt idx="3">
                  <c:v>15</c:v>
                </c:pt>
                <c:pt idx="4">
                  <c:v>19</c:v>
                </c:pt>
                <c:pt idx="5">
                  <c:v>23</c:v>
                </c:pt>
                <c:pt idx="6">
                  <c:v>27</c:v>
                </c:pt>
                <c:pt idx="7">
                  <c:v>31</c:v>
                </c:pt>
                <c:pt idx="8">
                  <c:v>35</c:v>
                </c:pt>
                <c:pt idx="9">
                  <c:v>39</c:v>
                </c:pt>
                <c:pt idx="10">
                  <c:v>43</c:v>
                </c:pt>
                <c:pt idx="11">
                  <c:v>47</c:v>
                </c:pt>
                <c:pt idx="12">
                  <c:v>51</c:v>
                </c:pt>
                <c:pt idx="13">
                  <c:v>55</c:v>
                </c:pt>
                <c:pt idx="14">
                  <c:v>59</c:v>
                </c:pt>
                <c:pt idx="15">
                  <c:v>63</c:v>
                </c:pt>
                <c:pt idx="16">
                  <c:v>67</c:v>
                </c:pt>
                <c:pt idx="17">
                  <c:v>71</c:v>
                </c:pt>
                <c:pt idx="18">
                  <c:v>75</c:v>
                </c:pt>
                <c:pt idx="19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98-424B-83D8-55ED86C2A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8812335"/>
        <c:axId val="1748814735"/>
      </c:lineChart>
      <c:catAx>
        <c:axId val="174881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8814735"/>
        <c:crosses val="autoZero"/>
        <c:auto val="1"/>
        <c:lblAlgn val="ctr"/>
        <c:lblOffset val="100"/>
        <c:noMultiLvlLbl val="0"/>
      </c:catAx>
      <c:valAx>
        <c:axId val="174881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881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</xdr:rowOff>
    </xdr:from>
    <xdr:to>
      <xdr:col>4</xdr:col>
      <xdr:colOff>274320</xdr:colOff>
      <xdr:row>13</xdr:row>
      <xdr:rowOff>167641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635C72-E886-48D0-9BDB-5AFAABFC3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</xdr:colOff>
      <xdr:row>2</xdr:row>
      <xdr:rowOff>0</xdr:rowOff>
    </xdr:from>
    <xdr:to>
      <xdr:col>9</xdr:col>
      <xdr:colOff>640081</xdr:colOff>
      <xdr:row>14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180BA2B-62D1-4C3D-8499-EC142C539C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4</xdr:col>
      <xdr:colOff>259080</xdr:colOff>
      <xdr:row>28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E0974D-41C9-4F23-B349-1F7E7C3D3F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15</xdr:row>
      <xdr:rowOff>0</xdr:rowOff>
    </xdr:from>
    <xdr:to>
      <xdr:col>10</xdr:col>
      <xdr:colOff>335280</xdr:colOff>
      <xdr:row>29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143352F-316E-4C69-81E4-AD9EA0404F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50</xdr:row>
      <xdr:rowOff>175054</xdr:rowOff>
    </xdr:from>
    <xdr:to>
      <xdr:col>4</xdr:col>
      <xdr:colOff>473676</xdr:colOff>
      <xdr:row>65</xdr:row>
      <xdr:rowOff>18965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5BC76CF-8AD5-A3CD-950F-784CE84F21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82378</xdr:colOff>
      <xdr:row>69</xdr:row>
      <xdr:rowOff>105064</xdr:rowOff>
    </xdr:from>
    <xdr:to>
      <xdr:col>4</xdr:col>
      <xdr:colOff>742020</xdr:colOff>
      <xdr:row>84</xdr:row>
      <xdr:rowOff>118711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56B00BA-96EA-7498-52BA-83AD5BE5D6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597244</xdr:colOff>
      <xdr:row>50</xdr:row>
      <xdr:rowOff>154459</xdr:rowOff>
    </xdr:from>
    <xdr:to>
      <xdr:col>8</xdr:col>
      <xdr:colOff>1122407</xdr:colOff>
      <xdr:row>65</xdr:row>
      <xdr:rowOff>182031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F40C492-1042-0E66-66A4-42B776428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334662</xdr:colOff>
      <xdr:row>69</xdr:row>
      <xdr:rowOff>111211</xdr:rowOff>
    </xdr:from>
    <xdr:to>
      <xdr:col>10</xdr:col>
      <xdr:colOff>97824</xdr:colOff>
      <xdr:row>84</xdr:row>
      <xdr:rowOff>74140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C5DF4AE-997D-8E60-822F-D3A7F0D10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3.783094328704" createdVersion="8" refreshedVersion="8" minRefreshableVersion="3" recordCount="40" xr:uid="{F078089C-7E94-48C3-87B8-DC0E08566331}">
  <cacheSource type="worksheet">
    <worksheetSource name="Tabla2"/>
  </cacheSource>
  <cacheFields count="8">
    <cacheField name="ID" numFmtId="0">
      <sharedItems containsSemiMixedTypes="0" containsString="0" containsNumber="1" containsInteger="1" minValue="1" maxValue="40"/>
    </cacheField>
    <cacheField name="Fecha" numFmtId="14">
      <sharedItems containsSemiMixedTypes="0" containsNonDate="0" containsDate="1" containsString="0" minDate="2025-02-01T00:00:00" maxDate="2025-02-21T00:00:00" count="20"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</sharedItems>
    </cacheField>
    <cacheField name="Usuario" numFmtId="0">
      <sharedItems/>
    </cacheField>
    <cacheField name="Tipo_Falla" numFmtId="0">
      <sharedItems count="5">
        <s v="Software"/>
        <s v="Hardware"/>
        <s v="Red"/>
        <s v="Acceso"/>
        <s v="Sistema"/>
      </sharedItems>
    </cacheField>
    <cacheField name="Prioridad" numFmtId="0">
      <sharedItems count="3">
        <s v="Alta"/>
        <s v="Media"/>
        <s v="Baja"/>
      </sharedItems>
    </cacheField>
    <cacheField name="Tecnico" numFmtId="0">
      <sharedItems count="3">
        <s v="Luis"/>
        <s v="Carlos"/>
        <s v="Maria"/>
      </sharedItems>
    </cacheField>
    <cacheField name="Estado" numFmtId="0">
      <sharedItems/>
    </cacheField>
    <cacheField name="Tiempo_Horas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"/>
    <x v="0"/>
    <s v="Ana"/>
    <x v="0"/>
    <x v="0"/>
    <x v="0"/>
    <s v="Cerrado"/>
    <n v="3"/>
  </r>
  <r>
    <n v="2"/>
    <x v="0"/>
    <s v="Juan"/>
    <x v="1"/>
    <x v="1"/>
    <x v="1"/>
    <s v="Cerrado"/>
    <n v="5"/>
  </r>
  <r>
    <n v="3"/>
    <x v="1"/>
    <s v="Sara"/>
    <x v="2"/>
    <x v="0"/>
    <x v="0"/>
    <s v="Abierto"/>
    <n v="2"/>
  </r>
  <r>
    <n v="4"/>
    <x v="1"/>
    <s v="Camilo"/>
    <x v="3"/>
    <x v="2"/>
    <x v="2"/>
    <s v="Cerrado"/>
    <n v="1"/>
  </r>
  <r>
    <n v="5"/>
    <x v="2"/>
    <s v="Laura"/>
    <x v="0"/>
    <x v="1"/>
    <x v="1"/>
    <s v="Cerrado"/>
    <n v="4"/>
  </r>
  <r>
    <n v="6"/>
    <x v="2"/>
    <s v="Pedro"/>
    <x v="4"/>
    <x v="0"/>
    <x v="0"/>
    <s v="Cerrado"/>
    <n v="6"/>
  </r>
  <r>
    <n v="7"/>
    <x v="3"/>
    <s v="Andres"/>
    <x v="2"/>
    <x v="0"/>
    <x v="2"/>
    <s v="Abierto"/>
    <n v="3"/>
  </r>
  <r>
    <n v="8"/>
    <x v="3"/>
    <s v="Valentina"/>
    <x v="1"/>
    <x v="1"/>
    <x v="1"/>
    <s v="Cerrado"/>
    <n v="5"/>
  </r>
  <r>
    <n v="9"/>
    <x v="4"/>
    <s v="Sofia"/>
    <x v="0"/>
    <x v="2"/>
    <x v="2"/>
    <s v="Cerrado"/>
    <n v="2"/>
  </r>
  <r>
    <n v="10"/>
    <x v="4"/>
    <s v="Diego"/>
    <x v="3"/>
    <x v="1"/>
    <x v="0"/>
    <s v="Cerrado"/>
    <n v="2"/>
  </r>
  <r>
    <n v="11"/>
    <x v="5"/>
    <s v="Daniela"/>
    <x v="4"/>
    <x v="0"/>
    <x v="1"/>
    <s v="Cerrado"/>
    <n v="7"/>
  </r>
  <r>
    <n v="12"/>
    <x v="5"/>
    <s v="Jorge"/>
    <x v="2"/>
    <x v="1"/>
    <x v="2"/>
    <s v="Cerrado"/>
    <n v="4"/>
  </r>
  <r>
    <n v="13"/>
    <x v="6"/>
    <s v="Paula"/>
    <x v="0"/>
    <x v="0"/>
    <x v="0"/>
    <s v="Abierto"/>
    <n v="3"/>
  </r>
  <r>
    <n v="14"/>
    <x v="6"/>
    <s v="Nicolas"/>
    <x v="1"/>
    <x v="1"/>
    <x v="1"/>
    <s v="Cerrado"/>
    <n v="5"/>
  </r>
  <r>
    <n v="15"/>
    <x v="7"/>
    <s v="Julian"/>
    <x v="3"/>
    <x v="2"/>
    <x v="2"/>
    <s v="Cerrado"/>
    <n v="1"/>
  </r>
  <r>
    <n v="16"/>
    <x v="7"/>
    <s v="Carolina"/>
    <x v="4"/>
    <x v="0"/>
    <x v="0"/>
    <s v="Cerrado"/>
    <n v="6"/>
  </r>
  <r>
    <n v="17"/>
    <x v="8"/>
    <s v="Felipe"/>
    <x v="2"/>
    <x v="0"/>
    <x v="1"/>
    <s v="Cerrado"/>
    <n v="4"/>
  </r>
  <r>
    <n v="18"/>
    <x v="8"/>
    <s v="Manuela"/>
    <x v="0"/>
    <x v="1"/>
    <x v="2"/>
    <s v="Cerrado"/>
    <n v="3"/>
  </r>
  <r>
    <n v="19"/>
    <x v="9"/>
    <s v="Kevin"/>
    <x v="1"/>
    <x v="1"/>
    <x v="0"/>
    <s v="Cerrado"/>
    <n v="5"/>
  </r>
  <r>
    <n v="20"/>
    <x v="9"/>
    <s v="Catalina"/>
    <x v="3"/>
    <x v="2"/>
    <x v="2"/>
    <s v="Cerrado"/>
    <n v="1"/>
  </r>
  <r>
    <n v="21"/>
    <x v="10"/>
    <s v="Santiago"/>
    <x v="4"/>
    <x v="0"/>
    <x v="1"/>
    <s v="Abierto"/>
    <n v="6"/>
  </r>
  <r>
    <n v="22"/>
    <x v="10"/>
    <s v="Lina"/>
    <x v="0"/>
    <x v="1"/>
    <x v="0"/>
    <s v="Cerrado"/>
    <n v="4"/>
  </r>
  <r>
    <n v="23"/>
    <x v="11"/>
    <s v="Esteban"/>
    <x v="2"/>
    <x v="0"/>
    <x v="2"/>
    <s v="Cerrado"/>
    <n v="5"/>
  </r>
  <r>
    <n v="24"/>
    <x v="11"/>
    <s v="Adriana"/>
    <x v="1"/>
    <x v="2"/>
    <x v="1"/>
    <s v="Cerrado"/>
    <n v="2"/>
  </r>
  <r>
    <n v="25"/>
    <x v="12"/>
    <s v="Cesar"/>
    <x v="3"/>
    <x v="1"/>
    <x v="0"/>
    <s v="Cerrado"/>
    <n v="2"/>
  </r>
  <r>
    <n v="26"/>
    <x v="12"/>
    <s v="Diana"/>
    <x v="4"/>
    <x v="0"/>
    <x v="2"/>
    <s v="Cerrado"/>
    <n v="7"/>
  </r>
  <r>
    <n v="27"/>
    <x v="13"/>
    <s v="Oscar"/>
    <x v="0"/>
    <x v="0"/>
    <x v="1"/>
    <s v="Cerrado"/>
    <n v="3"/>
  </r>
  <r>
    <n v="28"/>
    <x v="13"/>
    <s v="Monica"/>
    <x v="2"/>
    <x v="1"/>
    <x v="0"/>
    <s v="Cerrado"/>
    <n v="4"/>
  </r>
  <r>
    <n v="29"/>
    <x v="14"/>
    <s v="Raul"/>
    <x v="1"/>
    <x v="1"/>
    <x v="2"/>
    <s v="Abierto"/>
    <n v="5"/>
  </r>
  <r>
    <n v="30"/>
    <x v="14"/>
    <s v="Patricia"/>
    <x v="3"/>
    <x v="2"/>
    <x v="1"/>
    <s v="Cerrado"/>
    <n v="1"/>
  </r>
  <r>
    <n v="31"/>
    <x v="15"/>
    <s v="Tatiana"/>
    <x v="4"/>
    <x v="0"/>
    <x v="0"/>
    <s v="Cerrado"/>
    <n v="6"/>
  </r>
  <r>
    <n v="32"/>
    <x v="15"/>
    <s v="Hector"/>
    <x v="0"/>
    <x v="1"/>
    <x v="2"/>
    <s v="Cerrado"/>
    <n v="3"/>
  </r>
  <r>
    <n v="33"/>
    <x v="16"/>
    <s v="Mario"/>
    <x v="2"/>
    <x v="0"/>
    <x v="1"/>
    <s v="Cerrado"/>
    <n v="5"/>
  </r>
  <r>
    <n v="34"/>
    <x v="16"/>
    <s v="Alejandra"/>
    <x v="1"/>
    <x v="1"/>
    <x v="0"/>
    <s v="Cerrado"/>
    <n v="4"/>
  </r>
  <r>
    <n v="35"/>
    <x v="17"/>
    <s v="Brayan"/>
    <x v="3"/>
    <x v="2"/>
    <x v="2"/>
    <s v="Cerrado"/>
    <n v="1"/>
  </r>
  <r>
    <n v="36"/>
    <x v="17"/>
    <s v="Luisa"/>
    <x v="4"/>
    <x v="0"/>
    <x v="1"/>
    <s v="Cerrado"/>
    <n v="7"/>
  </r>
  <r>
    <n v="37"/>
    <x v="18"/>
    <s v="Renata"/>
    <x v="0"/>
    <x v="0"/>
    <x v="0"/>
    <s v="Cerrado"/>
    <n v="4"/>
  </r>
  <r>
    <n v="38"/>
    <x v="18"/>
    <s v="David"/>
    <x v="2"/>
    <x v="1"/>
    <x v="2"/>
    <s v="Cerrado"/>
    <n v="3"/>
  </r>
  <r>
    <n v="39"/>
    <x v="19"/>
    <s v="Angela"/>
    <x v="1"/>
    <x v="1"/>
    <x v="1"/>
    <s v="Cerrado"/>
    <n v="5"/>
  </r>
  <r>
    <n v="40"/>
    <x v="19"/>
    <s v="Victor"/>
    <x v="3"/>
    <x v="2"/>
    <x v="0"/>
    <s v="Cerrado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809A5E-8411-4042-AB93-D0B9D941FFFA}" name="TablaDinámica7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J44:K65" firstHeaderRow="1" firstDataRow="1" firstDataCol="1"/>
  <pivotFields count="8">
    <pivotField dataField="1" showAll="0"/>
    <pivotField axis="axisRow"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a de ID" fld="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8A0928-614E-432E-AC97-9DC487248A01}" name="TablaDinámica2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44:B50" firstHeaderRow="1" firstDataRow="1" firstDataCol="1"/>
  <pivotFields count="8">
    <pivotField dataField="1" showAll="0"/>
    <pivotField numFmtId="14"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ID" fld="0" subtotal="countNums" baseField="3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0E6CB7-A316-457B-B770-FF914BBFD9C4}" name="TablaDinámica3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D44:E48" firstHeaderRow="1" firstDataRow="1" firstDataCol="1"/>
  <pivotFields count="8">
    <pivotField dataField="1" showAll="0"/>
    <pivotField numFmtId="14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ID" fld="0" subtotal="countNums" baseField="5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C8BA1-A93D-47BD-90EF-50B6D5EC395C}" name="TablaDinámica4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G44:H48" firstHeaderRow="1" firstDataRow="1" firstDataCol="1"/>
  <pivotFields count="8">
    <pivotField dataField="1" showAll="0"/>
    <pivotField numFmtId="14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ID" fld="0" subtotal="countNums" baseField="4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EA9E0A-D5BC-4EAA-A99B-E3D0D3C1C961}" name="Tabla2" displayName="Tabla2" ref="A1:H41" totalsRowShown="0" headerRowDxfId="1" dataDxfId="2">
  <autoFilter ref="A1:H41" xr:uid="{6EEA9E0A-D5BC-4EAA-A99B-E3D0D3C1C961}"/>
  <tableColumns count="8">
    <tableColumn id="1" xr3:uid="{8B2F66A8-18C0-4325-8EBA-9C38FC1CB442}" name="ID" dataDxfId="10"/>
    <tableColumn id="2" xr3:uid="{87779589-D4E4-4C5D-81C1-C3C222B9D893}" name="Fecha" dataDxfId="9"/>
    <tableColumn id="3" xr3:uid="{9300694D-9B8C-446C-902D-431211B5453B}" name="Usuario" dataDxfId="8"/>
    <tableColumn id="4" xr3:uid="{C30A28E9-A674-4425-AF64-B4ED4A1DDA63}" name="Tipo_Falla" dataDxfId="7"/>
    <tableColumn id="5" xr3:uid="{4E6AC05C-2D86-426D-B175-D06CF7C8D7BE}" name="Prioridad" dataDxfId="6"/>
    <tableColumn id="6" xr3:uid="{5B1EF127-2640-4F13-AD9A-E2AE0CD18144}" name="Tecnico" dataDxfId="5"/>
    <tableColumn id="7" xr3:uid="{268624CF-BFF5-4EC0-8A26-99C44B9F82DF}" name="Estado" dataDxfId="4"/>
    <tableColumn id="8" xr3:uid="{74DA42FA-F5AC-4974-A05B-EEBDC338744F}" name="Tiempo_Hora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5572-5F60-4B88-A436-9B703AF1238F}">
  <dimension ref="A1:J33"/>
  <sheetViews>
    <sheetView workbookViewId="0">
      <selection activeCell="D33" sqref="D33"/>
    </sheetView>
  </sheetViews>
  <sheetFormatPr baseColWidth="10" defaultRowHeight="14.4" x14ac:dyDescent="0.3"/>
  <sheetData>
    <row r="1" spans="1:10" x14ac:dyDescent="0.3">
      <c r="A1" s="8" t="s">
        <v>67</v>
      </c>
      <c r="B1" s="8"/>
      <c r="C1" s="8"/>
      <c r="D1" s="8"/>
      <c r="E1" s="8"/>
      <c r="F1" s="8"/>
      <c r="G1" s="8"/>
      <c r="H1" s="8"/>
      <c r="I1" s="8"/>
      <c r="J1" s="8"/>
    </row>
    <row r="32" spans="1:4" x14ac:dyDescent="0.3">
      <c r="A32" s="8" t="s">
        <v>61</v>
      </c>
      <c r="B32" s="8"/>
      <c r="C32">
        <v>40</v>
      </c>
      <c r="D32" t="s">
        <v>68</v>
      </c>
    </row>
    <row r="33" spans="1:4" x14ac:dyDescent="0.3">
      <c r="A33" s="8" t="s">
        <v>62</v>
      </c>
      <c r="B33" s="8"/>
      <c r="C33">
        <v>3.7749999999999999</v>
      </c>
      <c r="D33" t="s">
        <v>69</v>
      </c>
    </row>
  </sheetData>
  <mergeCells count="3">
    <mergeCell ref="A1:J1"/>
    <mergeCell ref="A32:B32"/>
    <mergeCell ref="A33:B3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303F-5D88-4A80-9DA7-A026462B4E2D}">
  <dimension ref="A1:K65"/>
  <sheetViews>
    <sheetView tabSelected="1" zoomScale="74" zoomScaleNormal="67" workbookViewId="0">
      <selection activeCell="K4" sqref="J3:K4"/>
    </sheetView>
  </sheetViews>
  <sheetFormatPr baseColWidth="10" defaultRowHeight="14.4" x14ac:dyDescent="0.3"/>
  <cols>
    <col min="1" max="1" width="17.77734375" bestFit="1" customWidth="1"/>
    <col min="2" max="2" width="12.109375" bestFit="1" customWidth="1"/>
    <col min="4" max="4" width="17.77734375" bestFit="1" customWidth="1"/>
    <col min="5" max="5" width="12.109375" bestFit="1" customWidth="1"/>
    <col min="7" max="7" width="17.77734375" bestFit="1" customWidth="1"/>
    <col min="8" max="8" width="12.109375" bestFit="1" customWidth="1"/>
    <col min="9" max="9" width="17.77734375" bestFit="1" customWidth="1"/>
    <col min="10" max="10" width="10.88671875" bestFit="1" customWidth="1"/>
    <col min="11" max="11" width="12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3">
      <c r="A2" s="2">
        <v>1</v>
      </c>
      <c r="B2" s="3">
        <v>45689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>
        <v>3</v>
      </c>
    </row>
    <row r="3" spans="1:11" x14ac:dyDescent="0.3">
      <c r="A3" s="2">
        <v>2</v>
      </c>
      <c r="B3" s="3">
        <v>45689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12</v>
      </c>
      <c r="H3" s="2">
        <v>5</v>
      </c>
      <c r="J3" t="s">
        <v>61</v>
      </c>
      <c r="K3">
        <f>COUNTA(A2:A41)</f>
        <v>40</v>
      </c>
    </row>
    <row r="4" spans="1:11" x14ac:dyDescent="0.3">
      <c r="A4" s="2">
        <v>3</v>
      </c>
      <c r="B4" s="3">
        <v>45690</v>
      </c>
      <c r="C4" s="2" t="s">
        <v>17</v>
      </c>
      <c r="D4" s="2" t="s">
        <v>18</v>
      </c>
      <c r="E4" s="2" t="s">
        <v>10</v>
      </c>
      <c r="F4" s="2" t="s">
        <v>11</v>
      </c>
      <c r="G4" s="2" t="s">
        <v>19</v>
      </c>
      <c r="H4" s="2">
        <v>2</v>
      </c>
      <c r="J4" t="s">
        <v>62</v>
      </c>
      <c r="K4">
        <f>AVERAGE(H2:H41)</f>
        <v>3.7749999999999999</v>
      </c>
    </row>
    <row r="5" spans="1:11" x14ac:dyDescent="0.3">
      <c r="A5" s="2">
        <v>4</v>
      </c>
      <c r="B5" s="3">
        <v>45690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12</v>
      </c>
      <c r="H5" s="2">
        <v>1</v>
      </c>
    </row>
    <row r="6" spans="1:11" x14ac:dyDescent="0.3">
      <c r="A6" s="2">
        <v>5</v>
      </c>
      <c r="B6" s="3">
        <v>45691</v>
      </c>
      <c r="C6" s="2" t="s">
        <v>24</v>
      </c>
      <c r="D6" s="2" t="s">
        <v>9</v>
      </c>
      <c r="E6" s="2" t="s">
        <v>15</v>
      </c>
      <c r="F6" s="2" t="s">
        <v>16</v>
      </c>
      <c r="G6" s="2" t="s">
        <v>12</v>
      </c>
      <c r="H6" s="2">
        <v>4</v>
      </c>
    </row>
    <row r="7" spans="1:11" x14ac:dyDescent="0.3">
      <c r="A7" s="2">
        <v>6</v>
      </c>
      <c r="B7" s="3">
        <v>45691</v>
      </c>
      <c r="C7" s="2" t="s">
        <v>25</v>
      </c>
      <c r="D7" s="2" t="s">
        <v>26</v>
      </c>
      <c r="E7" s="2" t="s">
        <v>10</v>
      </c>
      <c r="F7" s="2" t="s">
        <v>11</v>
      </c>
      <c r="G7" s="2" t="s">
        <v>12</v>
      </c>
      <c r="H7" s="2">
        <v>6</v>
      </c>
    </row>
    <row r="8" spans="1:11" x14ac:dyDescent="0.3">
      <c r="A8" s="2">
        <v>7</v>
      </c>
      <c r="B8" s="3">
        <v>45692</v>
      </c>
      <c r="C8" s="2" t="s">
        <v>27</v>
      </c>
      <c r="D8" s="2" t="s">
        <v>18</v>
      </c>
      <c r="E8" s="2" t="s">
        <v>10</v>
      </c>
      <c r="F8" s="2" t="s">
        <v>23</v>
      </c>
      <c r="G8" s="2" t="s">
        <v>19</v>
      </c>
      <c r="H8" s="2">
        <v>3</v>
      </c>
    </row>
    <row r="9" spans="1:11" x14ac:dyDescent="0.3">
      <c r="A9" s="2">
        <v>8</v>
      </c>
      <c r="B9" s="3">
        <v>45692</v>
      </c>
      <c r="C9" s="2" t="s">
        <v>28</v>
      </c>
      <c r="D9" s="2" t="s">
        <v>14</v>
      </c>
      <c r="E9" s="2" t="s">
        <v>15</v>
      </c>
      <c r="F9" s="2" t="s">
        <v>16</v>
      </c>
      <c r="G9" s="2" t="s">
        <v>12</v>
      </c>
      <c r="H9" s="2">
        <v>5</v>
      </c>
    </row>
    <row r="10" spans="1:11" x14ac:dyDescent="0.3">
      <c r="A10" s="2">
        <v>9</v>
      </c>
      <c r="B10" s="3">
        <v>45693</v>
      </c>
      <c r="C10" s="2" t="s">
        <v>29</v>
      </c>
      <c r="D10" s="2" t="s">
        <v>9</v>
      </c>
      <c r="E10" s="2" t="s">
        <v>22</v>
      </c>
      <c r="F10" s="2" t="s">
        <v>23</v>
      </c>
      <c r="G10" s="2" t="s">
        <v>12</v>
      </c>
      <c r="H10" s="2">
        <v>2</v>
      </c>
    </row>
    <row r="11" spans="1:11" x14ac:dyDescent="0.3">
      <c r="A11" s="2">
        <v>10</v>
      </c>
      <c r="B11" s="3">
        <v>45693</v>
      </c>
      <c r="C11" s="2" t="s">
        <v>30</v>
      </c>
      <c r="D11" s="2" t="s">
        <v>21</v>
      </c>
      <c r="E11" s="2" t="s">
        <v>15</v>
      </c>
      <c r="F11" s="2" t="s">
        <v>11</v>
      </c>
      <c r="G11" s="2" t="s">
        <v>12</v>
      </c>
      <c r="H11" s="2">
        <v>2</v>
      </c>
    </row>
    <row r="12" spans="1:11" x14ac:dyDescent="0.3">
      <c r="A12" s="2">
        <v>11</v>
      </c>
      <c r="B12" s="3">
        <v>45694</v>
      </c>
      <c r="C12" s="2" t="s">
        <v>31</v>
      </c>
      <c r="D12" s="2" t="s">
        <v>26</v>
      </c>
      <c r="E12" s="2" t="s">
        <v>10</v>
      </c>
      <c r="F12" s="2" t="s">
        <v>16</v>
      </c>
      <c r="G12" s="2" t="s">
        <v>12</v>
      </c>
      <c r="H12" s="2">
        <v>7</v>
      </c>
    </row>
    <row r="13" spans="1:11" x14ac:dyDescent="0.3">
      <c r="A13" s="2">
        <v>12</v>
      </c>
      <c r="B13" s="3">
        <v>45694</v>
      </c>
      <c r="C13" s="2" t="s">
        <v>32</v>
      </c>
      <c r="D13" s="2" t="s">
        <v>18</v>
      </c>
      <c r="E13" s="2" t="s">
        <v>15</v>
      </c>
      <c r="F13" s="2" t="s">
        <v>23</v>
      </c>
      <c r="G13" s="2" t="s">
        <v>12</v>
      </c>
      <c r="H13" s="2">
        <v>4</v>
      </c>
    </row>
    <row r="14" spans="1:11" x14ac:dyDescent="0.3">
      <c r="A14" s="2">
        <v>13</v>
      </c>
      <c r="B14" s="3">
        <v>45695</v>
      </c>
      <c r="C14" s="2" t="s">
        <v>33</v>
      </c>
      <c r="D14" s="2" t="s">
        <v>9</v>
      </c>
      <c r="E14" s="2" t="s">
        <v>10</v>
      </c>
      <c r="F14" s="2" t="s">
        <v>11</v>
      </c>
      <c r="G14" s="2" t="s">
        <v>19</v>
      </c>
      <c r="H14" s="2">
        <v>3</v>
      </c>
    </row>
    <row r="15" spans="1:11" x14ac:dyDescent="0.3">
      <c r="A15" s="2">
        <v>14</v>
      </c>
      <c r="B15" s="3">
        <v>45695</v>
      </c>
      <c r="C15" s="2" t="s">
        <v>34</v>
      </c>
      <c r="D15" s="2" t="s">
        <v>14</v>
      </c>
      <c r="E15" s="2" t="s">
        <v>15</v>
      </c>
      <c r="F15" s="2" t="s">
        <v>16</v>
      </c>
      <c r="G15" s="2" t="s">
        <v>12</v>
      </c>
      <c r="H15" s="2">
        <v>5</v>
      </c>
    </row>
    <row r="16" spans="1:11" x14ac:dyDescent="0.3">
      <c r="A16" s="2">
        <v>15</v>
      </c>
      <c r="B16" s="3">
        <v>45696</v>
      </c>
      <c r="C16" s="2" t="s">
        <v>35</v>
      </c>
      <c r="D16" s="2" t="s">
        <v>21</v>
      </c>
      <c r="E16" s="2" t="s">
        <v>22</v>
      </c>
      <c r="F16" s="2" t="s">
        <v>23</v>
      </c>
      <c r="G16" s="2" t="s">
        <v>12</v>
      </c>
      <c r="H16" s="2">
        <v>1</v>
      </c>
    </row>
    <row r="17" spans="1:8" x14ac:dyDescent="0.3">
      <c r="A17" s="2">
        <v>16</v>
      </c>
      <c r="B17" s="3">
        <v>45696</v>
      </c>
      <c r="C17" s="2" t="s">
        <v>36</v>
      </c>
      <c r="D17" s="2" t="s">
        <v>26</v>
      </c>
      <c r="E17" s="2" t="s">
        <v>10</v>
      </c>
      <c r="F17" s="2" t="s">
        <v>11</v>
      </c>
      <c r="G17" s="2" t="s">
        <v>12</v>
      </c>
      <c r="H17" s="2">
        <v>6</v>
      </c>
    </row>
    <row r="18" spans="1:8" x14ac:dyDescent="0.3">
      <c r="A18" s="2">
        <v>17</v>
      </c>
      <c r="B18" s="3">
        <v>45697</v>
      </c>
      <c r="C18" s="2" t="s">
        <v>37</v>
      </c>
      <c r="D18" s="2" t="s">
        <v>18</v>
      </c>
      <c r="E18" s="2" t="s">
        <v>10</v>
      </c>
      <c r="F18" s="2" t="s">
        <v>16</v>
      </c>
      <c r="G18" s="2" t="s">
        <v>12</v>
      </c>
      <c r="H18" s="2">
        <v>4</v>
      </c>
    </row>
    <row r="19" spans="1:8" x14ac:dyDescent="0.3">
      <c r="A19" s="2">
        <v>18</v>
      </c>
      <c r="B19" s="3">
        <v>45697</v>
      </c>
      <c r="C19" s="2" t="s">
        <v>38</v>
      </c>
      <c r="D19" s="2" t="s">
        <v>9</v>
      </c>
      <c r="E19" s="2" t="s">
        <v>15</v>
      </c>
      <c r="F19" s="2" t="s">
        <v>23</v>
      </c>
      <c r="G19" s="2" t="s">
        <v>12</v>
      </c>
      <c r="H19" s="2">
        <v>3</v>
      </c>
    </row>
    <row r="20" spans="1:8" x14ac:dyDescent="0.3">
      <c r="A20" s="2">
        <v>19</v>
      </c>
      <c r="B20" s="3">
        <v>45698</v>
      </c>
      <c r="C20" s="2" t="s">
        <v>39</v>
      </c>
      <c r="D20" s="2" t="s">
        <v>14</v>
      </c>
      <c r="E20" s="2" t="s">
        <v>15</v>
      </c>
      <c r="F20" s="2" t="s">
        <v>11</v>
      </c>
      <c r="G20" s="2" t="s">
        <v>12</v>
      </c>
      <c r="H20" s="2">
        <v>5</v>
      </c>
    </row>
    <row r="21" spans="1:8" x14ac:dyDescent="0.3">
      <c r="A21" s="2">
        <v>20</v>
      </c>
      <c r="B21" s="3">
        <v>45698</v>
      </c>
      <c r="C21" s="2" t="s">
        <v>40</v>
      </c>
      <c r="D21" s="2" t="s">
        <v>21</v>
      </c>
      <c r="E21" s="2" t="s">
        <v>22</v>
      </c>
      <c r="F21" s="2" t="s">
        <v>23</v>
      </c>
      <c r="G21" s="2" t="s">
        <v>12</v>
      </c>
      <c r="H21" s="2">
        <v>1</v>
      </c>
    </row>
    <row r="22" spans="1:8" x14ac:dyDescent="0.3">
      <c r="A22" s="2">
        <v>21</v>
      </c>
      <c r="B22" s="3">
        <v>45699</v>
      </c>
      <c r="C22" s="2" t="s">
        <v>41</v>
      </c>
      <c r="D22" s="2" t="s">
        <v>26</v>
      </c>
      <c r="E22" s="2" t="s">
        <v>10</v>
      </c>
      <c r="F22" s="2" t="s">
        <v>16</v>
      </c>
      <c r="G22" s="2" t="s">
        <v>19</v>
      </c>
      <c r="H22" s="2">
        <v>6</v>
      </c>
    </row>
    <row r="23" spans="1:8" x14ac:dyDescent="0.3">
      <c r="A23" s="2">
        <v>22</v>
      </c>
      <c r="B23" s="3">
        <v>45699</v>
      </c>
      <c r="C23" s="2" t="s">
        <v>42</v>
      </c>
      <c r="D23" s="2" t="s">
        <v>9</v>
      </c>
      <c r="E23" s="2" t="s">
        <v>15</v>
      </c>
      <c r="F23" s="2" t="s">
        <v>11</v>
      </c>
      <c r="G23" s="2" t="s">
        <v>12</v>
      </c>
      <c r="H23" s="2">
        <v>4</v>
      </c>
    </row>
    <row r="24" spans="1:8" x14ac:dyDescent="0.3">
      <c r="A24" s="2">
        <v>23</v>
      </c>
      <c r="B24" s="3">
        <v>45700</v>
      </c>
      <c r="C24" s="2" t="s">
        <v>43</v>
      </c>
      <c r="D24" s="2" t="s">
        <v>18</v>
      </c>
      <c r="E24" s="2" t="s">
        <v>10</v>
      </c>
      <c r="F24" s="2" t="s">
        <v>23</v>
      </c>
      <c r="G24" s="2" t="s">
        <v>12</v>
      </c>
      <c r="H24" s="2">
        <v>5</v>
      </c>
    </row>
    <row r="25" spans="1:8" x14ac:dyDescent="0.3">
      <c r="A25" s="2">
        <v>24</v>
      </c>
      <c r="B25" s="3">
        <v>45700</v>
      </c>
      <c r="C25" s="2" t="s">
        <v>44</v>
      </c>
      <c r="D25" s="2" t="s">
        <v>14</v>
      </c>
      <c r="E25" s="2" t="s">
        <v>22</v>
      </c>
      <c r="F25" s="2" t="s">
        <v>16</v>
      </c>
      <c r="G25" s="2" t="s">
        <v>12</v>
      </c>
      <c r="H25" s="2">
        <v>2</v>
      </c>
    </row>
    <row r="26" spans="1:8" x14ac:dyDescent="0.3">
      <c r="A26" s="2">
        <v>25</v>
      </c>
      <c r="B26" s="3">
        <v>45701</v>
      </c>
      <c r="C26" s="2" t="s">
        <v>45</v>
      </c>
      <c r="D26" s="2" t="s">
        <v>21</v>
      </c>
      <c r="E26" s="2" t="s">
        <v>15</v>
      </c>
      <c r="F26" s="2" t="s">
        <v>11</v>
      </c>
      <c r="G26" s="2" t="s">
        <v>12</v>
      </c>
      <c r="H26" s="2">
        <v>2</v>
      </c>
    </row>
    <row r="27" spans="1:8" x14ac:dyDescent="0.3">
      <c r="A27" s="2">
        <v>26</v>
      </c>
      <c r="B27" s="3">
        <v>45701</v>
      </c>
      <c r="C27" s="2" t="s">
        <v>46</v>
      </c>
      <c r="D27" s="2" t="s">
        <v>26</v>
      </c>
      <c r="E27" s="2" t="s">
        <v>10</v>
      </c>
      <c r="F27" s="2" t="s">
        <v>23</v>
      </c>
      <c r="G27" s="2" t="s">
        <v>12</v>
      </c>
      <c r="H27" s="2">
        <v>7</v>
      </c>
    </row>
    <row r="28" spans="1:8" x14ac:dyDescent="0.3">
      <c r="A28" s="2">
        <v>27</v>
      </c>
      <c r="B28" s="3">
        <v>45702</v>
      </c>
      <c r="C28" s="2" t="s">
        <v>47</v>
      </c>
      <c r="D28" s="2" t="s">
        <v>9</v>
      </c>
      <c r="E28" s="2" t="s">
        <v>10</v>
      </c>
      <c r="F28" s="2" t="s">
        <v>16</v>
      </c>
      <c r="G28" s="2" t="s">
        <v>12</v>
      </c>
      <c r="H28" s="2">
        <v>3</v>
      </c>
    </row>
    <row r="29" spans="1:8" x14ac:dyDescent="0.3">
      <c r="A29" s="2">
        <v>28</v>
      </c>
      <c r="B29" s="3">
        <v>45702</v>
      </c>
      <c r="C29" s="2" t="s">
        <v>48</v>
      </c>
      <c r="D29" s="2" t="s">
        <v>18</v>
      </c>
      <c r="E29" s="2" t="s">
        <v>15</v>
      </c>
      <c r="F29" s="2" t="s">
        <v>11</v>
      </c>
      <c r="G29" s="2" t="s">
        <v>12</v>
      </c>
      <c r="H29" s="2">
        <v>4</v>
      </c>
    </row>
    <row r="30" spans="1:8" x14ac:dyDescent="0.3">
      <c r="A30" s="2">
        <v>29</v>
      </c>
      <c r="B30" s="3">
        <v>45703</v>
      </c>
      <c r="C30" s="2" t="s">
        <v>49</v>
      </c>
      <c r="D30" s="2" t="s">
        <v>14</v>
      </c>
      <c r="E30" s="2" t="s">
        <v>15</v>
      </c>
      <c r="F30" s="2" t="s">
        <v>23</v>
      </c>
      <c r="G30" s="2" t="s">
        <v>19</v>
      </c>
      <c r="H30" s="2">
        <v>5</v>
      </c>
    </row>
    <row r="31" spans="1:8" x14ac:dyDescent="0.3">
      <c r="A31" s="2">
        <v>30</v>
      </c>
      <c r="B31" s="3">
        <v>45703</v>
      </c>
      <c r="C31" s="2" t="s">
        <v>50</v>
      </c>
      <c r="D31" s="2" t="s">
        <v>21</v>
      </c>
      <c r="E31" s="2" t="s">
        <v>22</v>
      </c>
      <c r="F31" s="2" t="s">
        <v>16</v>
      </c>
      <c r="G31" s="2" t="s">
        <v>12</v>
      </c>
      <c r="H31" s="2">
        <v>1</v>
      </c>
    </row>
    <row r="32" spans="1:8" x14ac:dyDescent="0.3">
      <c r="A32" s="2">
        <v>31</v>
      </c>
      <c r="B32" s="3">
        <v>45704</v>
      </c>
      <c r="C32" s="2" t="s">
        <v>51</v>
      </c>
      <c r="D32" s="2" t="s">
        <v>26</v>
      </c>
      <c r="E32" s="2" t="s">
        <v>10</v>
      </c>
      <c r="F32" s="2" t="s">
        <v>11</v>
      </c>
      <c r="G32" s="2" t="s">
        <v>12</v>
      </c>
      <c r="H32" s="2">
        <v>6</v>
      </c>
    </row>
    <row r="33" spans="1:11" x14ac:dyDescent="0.3">
      <c r="A33" s="2">
        <v>32</v>
      </c>
      <c r="B33" s="3">
        <v>45704</v>
      </c>
      <c r="C33" s="2" t="s">
        <v>52</v>
      </c>
      <c r="D33" s="2" t="s">
        <v>9</v>
      </c>
      <c r="E33" s="2" t="s">
        <v>15</v>
      </c>
      <c r="F33" s="2" t="s">
        <v>23</v>
      </c>
      <c r="G33" s="2" t="s">
        <v>12</v>
      </c>
      <c r="H33" s="2">
        <v>3</v>
      </c>
    </row>
    <row r="34" spans="1:11" x14ac:dyDescent="0.3">
      <c r="A34" s="2">
        <v>33</v>
      </c>
      <c r="B34" s="3">
        <v>45705</v>
      </c>
      <c r="C34" s="2" t="s">
        <v>53</v>
      </c>
      <c r="D34" s="2" t="s">
        <v>18</v>
      </c>
      <c r="E34" s="2" t="s">
        <v>10</v>
      </c>
      <c r="F34" s="2" t="s">
        <v>16</v>
      </c>
      <c r="G34" s="2" t="s">
        <v>12</v>
      </c>
      <c r="H34" s="2">
        <v>5</v>
      </c>
    </row>
    <row r="35" spans="1:11" x14ac:dyDescent="0.3">
      <c r="A35" s="2">
        <v>34</v>
      </c>
      <c r="B35" s="3">
        <v>45705</v>
      </c>
      <c r="C35" s="2" t="s">
        <v>54</v>
      </c>
      <c r="D35" s="2" t="s">
        <v>14</v>
      </c>
      <c r="E35" s="2" t="s">
        <v>15</v>
      </c>
      <c r="F35" s="2" t="s">
        <v>11</v>
      </c>
      <c r="G35" s="2" t="s">
        <v>12</v>
      </c>
      <c r="H35" s="2">
        <v>4</v>
      </c>
    </row>
    <row r="36" spans="1:11" x14ac:dyDescent="0.3">
      <c r="A36" s="2">
        <v>35</v>
      </c>
      <c r="B36" s="3">
        <v>45706</v>
      </c>
      <c r="C36" s="2" t="s">
        <v>55</v>
      </c>
      <c r="D36" s="2" t="s">
        <v>21</v>
      </c>
      <c r="E36" s="2" t="s">
        <v>22</v>
      </c>
      <c r="F36" s="2" t="s">
        <v>23</v>
      </c>
      <c r="G36" s="2" t="s">
        <v>12</v>
      </c>
      <c r="H36" s="2">
        <v>1</v>
      </c>
    </row>
    <row r="37" spans="1:11" x14ac:dyDescent="0.3">
      <c r="A37" s="2">
        <v>36</v>
      </c>
      <c r="B37" s="3">
        <v>45706</v>
      </c>
      <c r="C37" s="2" t="s">
        <v>56</v>
      </c>
      <c r="D37" s="2" t="s">
        <v>26</v>
      </c>
      <c r="E37" s="2" t="s">
        <v>10</v>
      </c>
      <c r="F37" s="2" t="s">
        <v>16</v>
      </c>
      <c r="G37" s="2" t="s">
        <v>12</v>
      </c>
      <c r="H37" s="2">
        <v>7</v>
      </c>
    </row>
    <row r="38" spans="1:11" x14ac:dyDescent="0.3">
      <c r="A38" s="2">
        <v>37</v>
      </c>
      <c r="B38" s="3">
        <v>45707</v>
      </c>
      <c r="C38" s="2" t="s">
        <v>57</v>
      </c>
      <c r="D38" s="2" t="s">
        <v>9</v>
      </c>
      <c r="E38" s="2" t="s">
        <v>10</v>
      </c>
      <c r="F38" s="2" t="s">
        <v>11</v>
      </c>
      <c r="G38" s="2" t="s">
        <v>12</v>
      </c>
      <c r="H38" s="2">
        <v>4</v>
      </c>
    </row>
    <row r="39" spans="1:11" x14ac:dyDescent="0.3">
      <c r="A39" s="2">
        <v>38</v>
      </c>
      <c r="B39" s="3">
        <v>45707</v>
      </c>
      <c r="C39" s="2" t="s">
        <v>58</v>
      </c>
      <c r="D39" s="2" t="s">
        <v>18</v>
      </c>
      <c r="E39" s="2" t="s">
        <v>15</v>
      </c>
      <c r="F39" s="2" t="s">
        <v>23</v>
      </c>
      <c r="G39" s="2" t="s">
        <v>12</v>
      </c>
      <c r="H39" s="2">
        <v>3</v>
      </c>
    </row>
    <row r="40" spans="1:11" x14ac:dyDescent="0.3">
      <c r="A40" s="2">
        <v>39</v>
      </c>
      <c r="B40" s="3">
        <v>45708</v>
      </c>
      <c r="C40" s="2" t="s">
        <v>59</v>
      </c>
      <c r="D40" s="2" t="s">
        <v>14</v>
      </c>
      <c r="E40" s="2" t="s">
        <v>15</v>
      </c>
      <c r="F40" s="2" t="s">
        <v>16</v>
      </c>
      <c r="G40" s="2" t="s">
        <v>12</v>
      </c>
      <c r="H40" s="2">
        <v>5</v>
      </c>
    </row>
    <row r="41" spans="1:11" x14ac:dyDescent="0.3">
      <c r="A41" s="2">
        <v>40</v>
      </c>
      <c r="B41" s="3">
        <v>45708</v>
      </c>
      <c r="C41" s="2" t="s">
        <v>60</v>
      </c>
      <c r="D41" s="2" t="s">
        <v>21</v>
      </c>
      <c r="E41" s="2" t="s">
        <v>22</v>
      </c>
      <c r="F41" s="2" t="s">
        <v>11</v>
      </c>
      <c r="G41" s="2" t="s">
        <v>12</v>
      </c>
      <c r="H41" s="2">
        <v>2</v>
      </c>
    </row>
    <row r="43" spans="1:11" x14ac:dyDescent="0.3">
      <c r="F43" s="2"/>
      <c r="G43" s="2"/>
    </row>
    <row r="44" spans="1:11" x14ac:dyDescent="0.3">
      <c r="A44" s="4" t="s">
        <v>63</v>
      </c>
      <c r="B44" t="s">
        <v>66</v>
      </c>
      <c r="D44" s="4" t="s">
        <v>63</v>
      </c>
      <c r="E44" t="s">
        <v>66</v>
      </c>
      <c r="G44" s="4" t="s">
        <v>63</v>
      </c>
      <c r="H44" t="s">
        <v>66</v>
      </c>
      <c r="J44" s="4" t="s">
        <v>63</v>
      </c>
      <c r="K44" t="s">
        <v>65</v>
      </c>
    </row>
    <row r="45" spans="1:11" x14ac:dyDescent="0.3">
      <c r="A45" s="5" t="s">
        <v>21</v>
      </c>
      <c r="B45" s="6">
        <v>8</v>
      </c>
      <c r="D45" s="5" t="s">
        <v>16</v>
      </c>
      <c r="E45" s="6">
        <v>13</v>
      </c>
      <c r="G45" s="5" t="s">
        <v>10</v>
      </c>
      <c r="H45" s="6">
        <v>16</v>
      </c>
      <c r="J45" s="7">
        <v>45689</v>
      </c>
      <c r="K45" s="6">
        <v>3</v>
      </c>
    </row>
    <row r="46" spans="1:11" x14ac:dyDescent="0.3">
      <c r="A46" s="5" t="s">
        <v>14</v>
      </c>
      <c r="B46" s="6">
        <v>8</v>
      </c>
      <c r="D46" s="5" t="s">
        <v>11</v>
      </c>
      <c r="E46" s="6">
        <v>14</v>
      </c>
      <c r="G46" s="5" t="s">
        <v>22</v>
      </c>
      <c r="H46" s="6">
        <v>8</v>
      </c>
      <c r="J46" s="7">
        <v>45690</v>
      </c>
      <c r="K46" s="6">
        <v>7</v>
      </c>
    </row>
    <row r="47" spans="1:11" x14ac:dyDescent="0.3">
      <c r="A47" s="5" t="s">
        <v>18</v>
      </c>
      <c r="B47" s="6">
        <v>8</v>
      </c>
      <c r="D47" s="5" t="s">
        <v>23</v>
      </c>
      <c r="E47" s="6">
        <v>13</v>
      </c>
      <c r="G47" s="5" t="s">
        <v>15</v>
      </c>
      <c r="H47" s="6">
        <v>16</v>
      </c>
      <c r="J47" s="7">
        <v>45691</v>
      </c>
      <c r="K47" s="6">
        <v>11</v>
      </c>
    </row>
    <row r="48" spans="1:11" x14ac:dyDescent="0.3">
      <c r="A48" s="5" t="s">
        <v>26</v>
      </c>
      <c r="B48" s="6">
        <v>7</v>
      </c>
      <c r="D48" s="5" t="s">
        <v>64</v>
      </c>
      <c r="E48" s="6">
        <v>40</v>
      </c>
      <c r="G48" s="5" t="s">
        <v>64</v>
      </c>
      <c r="H48" s="6">
        <v>40</v>
      </c>
      <c r="J48" s="7">
        <v>45692</v>
      </c>
      <c r="K48" s="6">
        <v>15</v>
      </c>
    </row>
    <row r="49" spans="1:11" x14ac:dyDescent="0.3">
      <c r="A49" s="5" t="s">
        <v>9</v>
      </c>
      <c r="B49" s="6">
        <v>9</v>
      </c>
      <c r="J49" s="7">
        <v>45693</v>
      </c>
      <c r="K49" s="6">
        <v>19</v>
      </c>
    </row>
    <row r="50" spans="1:11" x14ac:dyDescent="0.3">
      <c r="A50" s="5" t="s">
        <v>64</v>
      </c>
      <c r="B50" s="6">
        <v>40</v>
      </c>
      <c r="J50" s="7">
        <v>45694</v>
      </c>
      <c r="K50" s="6">
        <v>23</v>
      </c>
    </row>
    <row r="51" spans="1:11" x14ac:dyDescent="0.3">
      <c r="J51" s="7">
        <v>45695</v>
      </c>
      <c r="K51" s="6">
        <v>27</v>
      </c>
    </row>
    <row r="52" spans="1:11" x14ac:dyDescent="0.3">
      <c r="J52" s="7">
        <v>45696</v>
      </c>
      <c r="K52" s="6">
        <v>31</v>
      </c>
    </row>
    <row r="53" spans="1:11" x14ac:dyDescent="0.3">
      <c r="J53" s="7">
        <v>45697</v>
      </c>
      <c r="K53" s="6">
        <v>35</v>
      </c>
    </row>
    <row r="54" spans="1:11" x14ac:dyDescent="0.3">
      <c r="J54" s="7">
        <v>45698</v>
      </c>
      <c r="K54" s="6">
        <v>39</v>
      </c>
    </row>
    <row r="55" spans="1:11" x14ac:dyDescent="0.3">
      <c r="J55" s="7">
        <v>45699</v>
      </c>
      <c r="K55" s="6">
        <v>43</v>
      </c>
    </row>
    <row r="56" spans="1:11" x14ac:dyDescent="0.3">
      <c r="J56" s="7">
        <v>45700</v>
      </c>
      <c r="K56" s="6">
        <v>47</v>
      </c>
    </row>
    <row r="57" spans="1:11" x14ac:dyDescent="0.3">
      <c r="J57" s="7">
        <v>45701</v>
      </c>
      <c r="K57" s="6">
        <v>51</v>
      </c>
    </row>
    <row r="58" spans="1:11" x14ac:dyDescent="0.3">
      <c r="J58" s="7">
        <v>45702</v>
      </c>
      <c r="K58" s="6">
        <v>55</v>
      </c>
    </row>
    <row r="59" spans="1:11" x14ac:dyDescent="0.3">
      <c r="J59" s="7">
        <v>45703</v>
      </c>
      <c r="K59" s="6">
        <v>59</v>
      </c>
    </row>
    <row r="60" spans="1:11" x14ac:dyDescent="0.3">
      <c r="J60" s="7">
        <v>45704</v>
      </c>
      <c r="K60" s="6">
        <v>63</v>
      </c>
    </row>
    <row r="61" spans="1:11" x14ac:dyDescent="0.3">
      <c r="J61" s="7">
        <v>45705</v>
      </c>
      <c r="K61" s="6">
        <v>67</v>
      </c>
    </row>
    <row r="62" spans="1:11" x14ac:dyDescent="0.3">
      <c r="J62" s="7">
        <v>45706</v>
      </c>
      <c r="K62" s="6">
        <v>71</v>
      </c>
    </row>
    <row r="63" spans="1:11" x14ac:dyDescent="0.3">
      <c r="J63" s="7">
        <v>45707</v>
      </c>
      <c r="K63" s="6">
        <v>75</v>
      </c>
    </row>
    <row r="64" spans="1:11" x14ac:dyDescent="0.3">
      <c r="J64" s="7">
        <v>45708</v>
      </c>
      <c r="K64" s="6">
        <v>79</v>
      </c>
    </row>
    <row r="65" spans="10:11" x14ac:dyDescent="0.3">
      <c r="J65" s="7" t="s">
        <v>64</v>
      </c>
      <c r="K65" s="6">
        <v>820</v>
      </c>
    </row>
  </sheetData>
  <pageMargins left="0.7" right="0.7" top="0.75" bottom="0.75" header="0.3" footer="0.3"/>
  <drawing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Lucia Rios</dc:creator>
  <cp:lastModifiedBy>Sara Lucia Rios</cp:lastModifiedBy>
  <dcterms:created xsi:type="dcterms:W3CDTF">2026-02-10T22:41:17Z</dcterms:created>
  <dcterms:modified xsi:type="dcterms:W3CDTF">2026-02-11T00:32:27Z</dcterms:modified>
</cp:coreProperties>
</file>